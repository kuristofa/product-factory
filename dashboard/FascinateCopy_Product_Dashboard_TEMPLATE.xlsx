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ontent Log" sheetId="2" state="visible" r:id="rId4"/>
    <sheet name="Funnel" sheetId="3" state="visible" r:id="rId5"/>
    <sheet name="Feedba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<sst xmlns="http://schemas.openxmlformats.org/spreadsheetml/2006/main" count="137" uniqueCount="119">
  <si>
    <t xml:space="preserve">Product Performance Dashboard</t>
  </si>
  <si>
    <t xml:space="preserve">Draft template · example data · replace inputs (blue) and the Content Log with real numbers</t>
  </si>
  <si>
    <t xml:space="preserve">PRODUCT CONFIGURATION</t>
  </si>
  <si>
    <t xml:space="preserve">Product</t>
  </si>
  <si>
    <t xml:space="preserve">The 20-Minute Reels System</t>
  </si>
  <si>
    <t xml:space="preserve">Avatar</t>
  </si>
  <si>
    <t xml:space="preserve">Time-poor coaches with &lt;5k followers</t>
  </si>
  <si>
    <t xml:space="preserve">Core product price ($)</t>
  </si>
  <si>
    <t xml:space="preserve">Order bump price ($)</t>
  </si>
  <si>
    <t xml:space="preserve">Core deliverables</t>
  </si>
  <si>
    <t xml:space="preserve">Reel hook framework; Keyword-to-DM setup</t>
  </si>
  <si>
    <t xml:space="preserve">Bonuses</t>
  </si>
  <si>
    <t xml:space="preserve">30 done-for-you hooks</t>
  </si>
  <si>
    <t xml:space="preserve">Order bump</t>
  </si>
  <si>
    <t xml:space="preserve">Caption pack</t>
  </si>
  <si>
    <t xml:space="preserve">KPI SCORECARD  (live formulas — pull from Content Log &amp; Feedback)</t>
  </si>
  <si>
    <t xml:space="preserve">Content published</t>
  </si>
  <si>
    <t xml:space="preserve">Total reel views</t>
  </si>
  <si>
    <t xml:space="preserve">Total carousel engagement</t>
  </si>
  <si>
    <t xml:space="preserve">Total DMs</t>
  </si>
  <si>
    <t xml:space="preserve">Keyword triggers</t>
  </si>
  <si>
    <t xml:space="preserve">Checkout clicks</t>
  </si>
  <si>
    <t xml:space="preserve">Purchases</t>
  </si>
  <si>
    <t xml:space="preserve">Order-bump purchases</t>
  </si>
  <si>
    <t xml:space="preserve">Revenue</t>
  </si>
  <si>
    <t xml:space="preserve">Refunds (input)</t>
  </si>
  <si>
    <t xml:space="preserve">Refund rate</t>
  </si>
  <si>
    <t xml:space="preserve">Support issues</t>
  </si>
  <si>
    <t xml:space="preserve">Avg customer rating</t>
  </si>
  <si>
    <t xml:space="preserve">Content Log — example data (replace with real published content)</t>
  </si>
  <si>
    <t xml:space="preserve">Date</t>
  </si>
  <si>
    <t xml:space="preserve">Content Type</t>
  </si>
  <si>
    <t xml:space="preserve">Title / Hook</t>
  </si>
  <si>
    <t xml:space="preserve">Keyword</t>
  </si>
  <si>
    <t xml:space="preserve">Reel Views</t>
  </si>
  <si>
    <t xml:space="preserve">Carousel Engagement</t>
  </si>
  <si>
    <t xml:space="preserve">DMs Generated</t>
  </si>
  <si>
    <t xml:space="preserve">Keyword Triggers</t>
  </si>
  <si>
    <t xml:space="preserve">Checkout Clicks</t>
  </si>
  <si>
    <t xml:space="preserve">Order-Bump Purchases</t>
  </si>
  <si>
    <t xml:space="preserve">2025-06-02</t>
  </si>
  <si>
    <t xml:space="preserve">Reel</t>
  </si>
  <si>
    <t xml:space="preserve">The 20-min posting mistake</t>
  </si>
  <si>
    <t xml:space="preserve">REELS</t>
  </si>
  <si>
    <t xml:space="preserve">2025-06-04</t>
  </si>
  <si>
    <t xml:space="preserve">Carousel</t>
  </si>
  <si>
    <t xml:space="preserve">5 hooks that book calls</t>
  </si>
  <si>
    <t xml:space="preserve">HOOKS</t>
  </si>
  <si>
    <t xml:space="preserve">2025-06-06</t>
  </si>
  <si>
    <t xml:space="preserve">Why your Reels don't convert</t>
  </si>
  <si>
    <t xml:space="preserve">CONVERT</t>
  </si>
  <si>
    <t xml:space="preserve">2025-06-09</t>
  </si>
  <si>
    <t xml:space="preserve">Post</t>
  </si>
  <si>
    <t xml:space="preserve">Client booked 5 calls in a week</t>
  </si>
  <si>
    <t xml:space="preserve">PROOF</t>
  </si>
  <si>
    <t xml:space="preserve">2025-06-11</t>
  </si>
  <si>
    <t xml:space="preserve">Steal my keyword-to-DM setup</t>
  </si>
  <si>
    <t xml:space="preserve">SETUP</t>
  </si>
  <si>
    <t xml:space="preserve">2025-06-13</t>
  </si>
  <si>
    <t xml:space="preserve">The DM script I use</t>
  </si>
  <si>
    <t xml:space="preserve">SCRIPT</t>
  </si>
  <si>
    <t xml:space="preserve">2025-06-16</t>
  </si>
  <si>
    <t xml:space="preserve">Post this when you're busy</t>
  </si>
  <si>
    <t xml:space="preserve">BUSY</t>
  </si>
  <si>
    <t xml:space="preserve">2025-06-18</t>
  </si>
  <si>
    <t xml:space="preserve">No time? 20 minutes is enough</t>
  </si>
  <si>
    <t xml:space="preserve">TIME</t>
  </si>
  <si>
    <t xml:space="preserve">2025-06-20</t>
  </si>
  <si>
    <t xml:space="preserve">3 hooks for coaches</t>
  </si>
  <si>
    <t xml:space="preserve">COACH</t>
  </si>
  <si>
    <t xml:space="preserve">2025-06-23</t>
  </si>
  <si>
    <t xml:space="preserve">Story</t>
  </si>
  <si>
    <t xml:space="preserve">Poll: what stops you posting?</t>
  </si>
  <si>
    <t xml:space="preserve">POLL</t>
  </si>
  <si>
    <t xml:space="preserve">TOTALS</t>
  </si>
  <si>
    <t xml:space="preserve">Funnel — example data</t>
  </si>
  <si>
    <t xml:space="preserve">Stage</t>
  </si>
  <si>
    <t xml:space="preserve">Count</t>
  </si>
  <si>
    <t xml:space="preserve">Conversion</t>
  </si>
  <si>
    <t xml:space="preserve">Reel views (reach)</t>
  </si>
  <si>
    <t xml:space="preserve">—</t>
  </si>
  <si>
    <t xml:space="preserve">DMs entered</t>
  </si>
  <si>
    <t xml:space="preserve">Order-bump attach</t>
  </si>
  <si>
    <t xml:space="preserve">Feedback &amp; Support — example data</t>
  </si>
  <si>
    <t xml:space="preserve">SUPPORT ISSUES</t>
  </si>
  <si>
    <t xml:space="preserve">Buyer</t>
  </si>
  <si>
    <t xml:space="preserve">Issue</t>
  </si>
  <si>
    <t xml:space="preserve">Status</t>
  </si>
  <si>
    <t xml:space="preserve">2025-06-12</t>
  </si>
  <si>
    <t xml:space="preserve">buyer #14</t>
  </si>
  <si>
    <t xml:space="preserve">Couldn't access the Drive folder</t>
  </si>
  <si>
    <t xml:space="preserve">Resolved</t>
  </si>
  <si>
    <t xml:space="preserve">2025-06-19</t>
  </si>
  <si>
    <t xml:space="preserve">buyer #33</t>
  </si>
  <si>
    <t xml:space="preserve">Wanted a refund — changed mind, kept it</t>
  </si>
  <si>
    <t xml:space="preserve">2025-06-24</t>
  </si>
  <si>
    <t xml:space="preserve">buyer #51</t>
  </si>
  <si>
    <t xml:space="preserve">Asked how to set up the DM keyword</t>
  </si>
  <si>
    <t xml:space="preserve">CUSTOMER FEEDBACK</t>
  </si>
  <si>
    <t xml:space="preserve">Rating (1-5)</t>
  </si>
  <si>
    <t xml:space="preserve">Comment</t>
  </si>
  <si>
    <t xml:space="preserve">2025-06-08</t>
  </si>
  <si>
    <t xml:space="preserve">buyer #6</t>
  </si>
  <si>
    <t xml:space="preserve">Booked 3 calls in the first week.</t>
  </si>
  <si>
    <t xml:space="preserve">2025-06-10</t>
  </si>
  <si>
    <t xml:space="preserve">buyer #9</t>
  </si>
  <si>
    <t xml:space="preserve">The keyword setup alone was worth it.</t>
  </si>
  <si>
    <t xml:space="preserve">2025-06-15</t>
  </si>
  <si>
    <t xml:space="preserve">buyer #22</t>
  </si>
  <si>
    <t xml:space="preserve">Great, wanted more hook examples.</t>
  </si>
  <si>
    <t xml:space="preserve">2025-06-17</t>
  </si>
  <si>
    <t xml:space="preserve">buyer #27</t>
  </si>
  <si>
    <t xml:space="preserve">Finally something I can do in 20 min.</t>
  </si>
  <si>
    <t xml:space="preserve">2025-06-21</t>
  </si>
  <si>
    <t xml:space="preserve">buyer #40</t>
  </si>
  <si>
    <t xml:space="preserve">Good but setup took me a while.</t>
  </si>
  <si>
    <t xml:space="preserve">2025-06-22</t>
  </si>
  <si>
    <t xml:space="preserve">buyer #44</t>
  </si>
  <si>
    <t xml:space="preserve">Solid framework, clear delivery.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</si>
</sst>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#,##0"/>
    <numFmt numFmtId="167" formatCode="0.0%"/>
    <numFmt numFmtId="168" formatCode="0.0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34F4C"/>
      <name val="Arial"/>
      <family val="0"/>
      <charset val="1"/>
    </font>
    <font>
      <i val="true"/>
      <sz val="9.5"/>
      <color rgb="FF5B6B7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2733"/>
      <name val="Arial"/>
      <family val="0"/>
      <charset val="1"/>
    </font>
    <font>
      <sz val="10"/>
      <color rgb="FF1B273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234F4C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34F4C"/>
        <bgColor rgb="FF2F6F6B"/>
      </patternFill>
    </fill>
    <fill>
      <patternFill patternType="solid">
        <fgColor rgb="FFEAF0F0"/>
        <bgColor rgb="FFFFFFFF"/>
      </patternFill>
    </fill>
    <fill>
      <patternFill patternType="solid">
        <fgColor rgb="FF2F6F6B"/>
        <bgColor rgb="FF5B6B7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DE3"/>
      </left>
      <right style="thin">
        <color rgb="FFD6DDE3"/>
      </right>
      <top style="thin">
        <color rgb="FFD6DDE3"/>
      </top>
      <bottom style="thin">
        <color rgb="FFD6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6B"/>
      <rgbColor rgb="FFC0C0C0"/>
      <rgbColor rgb="FF808080"/>
      <rgbColor rgb="FF9999FF"/>
      <rgbColor rgb="FF993366"/>
      <rgbColor rgb="FFEAF0F0"/>
      <rgbColor rgb="FFCCFFFF"/>
      <rgbColor rgb="FF660066"/>
      <rgbColor rgb="FFFF8080"/>
      <rgbColor rgb="FF0066CC"/>
      <rgbColor rgb="FFD6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B"/>
      <rgbColor rgb="FF969696"/>
      <rgbColor rgb="FF234F4C"/>
      <rgbColor rgb="FF339966"/>
      <rgbColor rgb="FF003300"/>
      <rgbColor rgb="FF333300"/>
      <rgbColor rgb="FF993300"/>
      <rgbColor rgb="FF993366"/>
      <rgbColor rgb="FF333399"/>
      <rgbColor rgb="FF1B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6" t="n">
        <v>27</v>
      </c>
    </row>
    <row r="8" customFormat="false" ht="15" hidden="false" customHeight="false" outlineLevel="0" collapsed="false">
      <c r="A8" s="4" t="s">
        <v>8</v>
      </c>
      <c r="B8" s="6" t="n">
        <v>9</v>
      </c>
    </row>
    <row r="9" customFormat="false" ht="15" hidden="false" customHeight="false" outlineLevel="0" collapsed="false">
      <c r="A9" s="4" t="s">
        <v>9</v>
      </c>
      <c r="B9" s="5" t="s">
        <v>10</v>
      </c>
    </row>
    <row r="10" customFormat="false" ht="15" hidden="false" customHeight="false" outlineLevel="0" collapsed="false">
      <c r="A10" s="4" t="s">
        <v>11</v>
      </c>
      <c r="B10" s="5" t="s">
        <v>12</v>
      </c>
    </row>
    <row r="11" customFormat="false" ht="15" hidden="false" customHeight="false" outlineLevel="0" collapsed="false">
      <c r="A11" s="4" t="s">
        <v>13</v>
      </c>
      <c r="B11" s="5" t="s">
        <v>14</v>
      </c>
    </row>
    <row r="13" customFormat="false" ht="15" hidden="false" customHeight="false" outlineLevel="0" collapsed="false">
      <c r="A13" s="3" t="s">
        <v>15</v>
      </c>
      <c r="B13" s="3"/>
    </row>
    <row r="14" customFormat="false" ht="15" hidden="false" customHeight="false" outlineLevel="0" collapsed="false">
      <c r="A14" s="4" t="s">
        <v>16</v>
      </c>
      <c r="B14" s="7" t="n">
        <f aca="false">COUNTA('Content Log'!C4:C13)</f>
        <v>10</v>
      </c>
    </row>
    <row r="15" customFormat="false" ht="15" hidden="false" customHeight="false" outlineLevel="0" collapsed="false">
      <c r="A15" s="4" t="s">
        <v>17</v>
      </c>
      <c r="B15" s="7" t="n">
        <f aca="false">'Content Log'!E14</f>
        <v>36200</v>
      </c>
    </row>
    <row r="16" customFormat="false" ht="15" hidden="false" customHeight="false" outlineLevel="0" collapsed="false">
      <c r="A16" s="4" t="s">
        <v>18</v>
      </c>
      <c r="B16" s="7" t="n">
        <f aca="false">'Content Log'!F14</f>
        <v>1640</v>
      </c>
    </row>
    <row r="17" customFormat="false" ht="15" hidden="false" customHeight="false" outlineLevel="0" collapsed="false">
      <c r="A17" s="4" t="s">
        <v>19</v>
      </c>
      <c r="B17" s="7" t="n">
        <f aca="false">'Content Log'!G14</f>
        <v>1220</v>
      </c>
    </row>
    <row r="18" customFormat="false" ht="15" hidden="false" customHeight="false" outlineLevel="0" collapsed="false">
      <c r="A18" s="4" t="s">
        <v>20</v>
      </c>
      <c r="B18" s="7" t="n">
        <f aca="false">'Content Log'!H14</f>
        <v>1287</v>
      </c>
    </row>
    <row r="19" customFormat="false" ht="15" hidden="false" customHeight="false" outlineLevel="0" collapsed="false">
      <c r="A19" s="4" t="s">
        <v>21</v>
      </c>
      <c r="B19" s="7" t="n">
        <f aca="false">'Content Log'!I14</f>
        <v>373</v>
      </c>
    </row>
    <row r="20" customFormat="false" ht="15" hidden="false" customHeight="false" outlineLevel="0" collapsed="false">
      <c r="A20" s="4" t="s">
        <v>22</v>
      </c>
      <c r="B20" s="7" t="n">
        <f aca="false">'Content Log'!J14</f>
        <v>62</v>
      </c>
    </row>
    <row r="21" customFormat="false" ht="15" hidden="false" customHeight="false" outlineLevel="0" collapsed="false">
      <c r="A21" s="4" t="s">
        <v>23</v>
      </c>
      <c r="B21" s="7" t="n">
        <f aca="false">'Content Log'!K14</f>
        <v>20</v>
      </c>
    </row>
    <row r="22" customFormat="false" ht="15" hidden="false" customHeight="false" outlineLevel="0" collapsed="false">
      <c r="A22" s="4" t="s">
        <v>24</v>
      </c>
      <c r="B22" s="8" t="n">
        <f aca="false">'Content Log'!L14</f>
        <v>1854</v>
      </c>
    </row>
    <row r="23" customFormat="false" ht="15" hidden="false" customHeight="false" outlineLevel="0" collapsed="false">
      <c r="A23" s="4" t="s">
        <v>25</v>
      </c>
      <c r="B23" s="9" t="n">
        <v>2</v>
      </c>
    </row>
    <row r="24" customFormat="false" ht="15" hidden="false" customHeight="false" outlineLevel="0" collapsed="false">
      <c r="A24" s="4" t="s">
        <v>26</v>
      </c>
      <c r="B24" s="10" t="n">
        <f aca="false">IF(B20=0,0,B23/B20)</f>
        <v>0.032258064516129</v>
      </c>
    </row>
    <row r="25" customFormat="false" ht="15" hidden="false" customHeight="false" outlineLevel="0" collapsed="false">
      <c r="A25" s="4" t="s">
        <v>27</v>
      </c>
      <c r="B25" s="7" t="n">
        <f aca="false">COUNTA(Feedback!C5:C8)</f>
        <v>3</v>
      </c>
    </row>
    <row r="26" customFormat="false" ht="15" hidden="false" customHeight="false" outlineLevel="0" collapsed="false">
      <c r="A26" s="4" t="s">
        <v>28</v>
      </c>
      <c r="B26" s="11" t="n">
        <f aca="false">IFERROR(AVERAGE(Feedback!C12:C17),0)</f>
        <v>4.33333333333333</v>
      </c>
    </row>
  </sheetData>
  <mergeCells count="2">
    <mergeCell ref="A4:B4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2" t="s">
        <v>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customFormat="false" ht="23.85" hidden="false" customHeight="false" outlineLevel="0" collapsed="false">
      <c r="A3" s="13" t="s">
        <v>30</v>
      </c>
      <c r="B3" s="13" t="s">
        <v>31</v>
      </c>
      <c r="C3" s="13" t="s">
        <v>32</v>
      </c>
      <c r="D3" s="13" t="s">
        <v>33</v>
      </c>
      <c r="E3" s="13" t="s">
        <v>34</v>
      </c>
      <c r="F3" s="13" t="s">
        <v>35</v>
      </c>
      <c r="G3" s="13" t="s">
        <v>36</v>
      </c>
      <c r="H3" s="13" t="s">
        <v>37</v>
      </c>
      <c r="I3" s="13" t="s">
        <v>38</v>
      </c>
      <c r="J3" s="13" t="s">
        <v>22</v>
      </c>
      <c r="K3" s="13" t="s">
        <v>39</v>
      </c>
      <c r="L3" s="13" t="s">
        <v>24</v>
      </c>
    </row>
    <row r="4" customFormat="false" ht="15" hidden="false" customHeight="false" outlineLevel="0" collapsed="false">
      <c r="A4" s="5" t="s">
        <v>40</v>
      </c>
      <c r="B4" s="5" t="s">
        <v>41</v>
      </c>
      <c r="C4" s="5" t="s">
        <v>42</v>
      </c>
      <c r="D4" s="5" t="s">
        <v>43</v>
      </c>
      <c r="E4" s="7" t="n">
        <v>8200</v>
      </c>
      <c r="F4" s="7" t="n">
        <v>0</v>
      </c>
      <c r="G4" s="7" t="n">
        <v>210</v>
      </c>
      <c r="H4" s="7" t="n">
        <v>220</v>
      </c>
      <c r="I4" s="7" t="n">
        <v>74</v>
      </c>
      <c r="J4" s="7" t="n">
        <v>15</v>
      </c>
      <c r="K4" s="7" t="n">
        <v>5</v>
      </c>
      <c r="L4" s="8" t="n">
        <f aca="false">J4*Overview!$B$7+K4*Overview!$B$8</f>
        <v>450</v>
      </c>
    </row>
    <row r="5" customFormat="false" ht="15" hidden="false" customHeight="false" outlineLevel="0" collapsed="false">
      <c r="A5" s="5" t="s">
        <v>44</v>
      </c>
      <c r="B5" s="5" t="s">
        <v>45</v>
      </c>
      <c r="C5" s="5" t="s">
        <v>46</v>
      </c>
      <c r="D5" s="5" t="s">
        <v>47</v>
      </c>
      <c r="E5" s="7" t="n">
        <v>0</v>
      </c>
      <c r="F5" s="7" t="n">
        <v>640</v>
      </c>
      <c r="G5" s="7" t="n">
        <v>95</v>
      </c>
      <c r="H5" s="7" t="n">
        <v>100</v>
      </c>
      <c r="I5" s="7" t="n">
        <v>40</v>
      </c>
      <c r="J5" s="7" t="n">
        <v>9</v>
      </c>
      <c r="K5" s="7" t="n">
        <v>3</v>
      </c>
      <c r="L5" s="8" t="n">
        <f aca="false">J5*Overview!$B$7+K5*Overview!$B$8</f>
        <v>270</v>
      </c>
    </row>
    <row r="6" customFormat="false" ht="15" hidden="false" customHeight="false" outlineLevel="0" collapsed="false">
      <c r="A6" s="5" t="s">
        <v>48</v>
      </c>
      <c r="B6" s="5" t="s">
        <v>41</v>
      </c>
      <c r="C6" s="5" t="s">
        <v>49</v>
      </c>
      <c r="D6" s="5" t="s">
        <v>50</v>
      </c>
      <c r="E6" s="7" t="n">
        <v>6100</v>
      </c>
      <c r="F6" s="7" t="n">
        <v>0</v>
      </c>
      <c r="G6" s="7" t="n">
        <v>150</v>
      </c>
      <c r="H6" s="7" t="n">
        <v>160</v>
      </c>
      <c r="I6" s="7" t="n">
        <v>52</v>
      </c>
      <c r="J6" s="7" t="n">
        <v>11</v>
      </c>
      <c r="K6" s="7" t="n">
        <v>4</v>
      </c>
      <c r="L6" s="8" t="n">
        <f aca="false">J6*Overview!$B$7+K6*Overview!$B$8</f>
        <v>333</v>
      </c>
    </row>
    <row r="7" customFormat="false" ht="15" hidden="false" customHeight="false" outlineLevel="0" collapsed="false">
      <c r="A7" s="5" t="s">
        <v>51</v>
      </c>
      <c r="B7" s="5" t="s">
        <v>52</v>
      </c>
      <c r="C7" s="5" t="s">
        <v>53</v>
      </c>
      <c r="D7" s="5" t="s">
        <v>54</v>
      </c>
      <c r="E7" s="7" t="n">
        <v>0</v>
      </c>
      <c r="F7" s="7" t="n">
        <v>210</v>
      </c>
      <c r="G7" s="7" t="n">
        <v>60</v>
      </c>
      <c r="H7" s="7" t="n">
        <v>62</v>
      </c>
      <c r="I7" s="7" t="n">
        <v>22</v>
      </c>
      <c r="J7" s="7" t="n">
        <v>6</v>
      </c>
      <c r="K7" s="7" t="n">
        <v>2</v>
      </c>
      <c r="L7" s="8" t="n">
        <f aca="false">J7*Overview!$B$7+K7*Overview!$B$8</f>
        <v>180</v>
      </c>
    </row>
    <row r="8" customFormat="false" ht="15" hidden="false" customHeight="false" outlineLevel="0" collapsed="false">
      <c r="A8" s="5" t="s">
        <v>55</v>
      </c>
      <c r="B8" s="5" t="s">
        <v>41</v>
      </c>
      <c r="C8" s="5" t="s">
        <v>56</v>
      </c>
      <c r="D8" s="5" t="s">
        <v>57</v>
      </c>
      <c r="E8" s="7" t="n">
        <v>9400</v>
      </c>
      <c r="F8" s="7" t="n">
        <v>0</v>
      </c>
      <c r="G8" s="7" t="n">
        <v>240</v>
      </c>
      <c r="H8" s="7" t="n">
        <v>250</v>
      </c>
      <c r="I8" s="7" t="n">
        <v>61</v>
      </c>
      <c r="J8" s="7" t="n">
        <v>12</v>
      </c>
      <c r="K8" s="7" t="n">
        <v>3</v>
      </c>
      <c r="L8" s="8" t="n">
        <f aca="false">J8*Overview!$B$7+K8*Overview!$B$8</f>
        <v>351</v>
      </c>
    </row>
    <row r="9" customFormat="false" ht="15" hidden="false" customHeight="false" outlineLevel="0" collapsed="false">
      <c r="A9" s="5" t="s">
        <v>58</v>
      </c>
      <c r="B9" s="5" t="s">
        <v>45</v>
      </c>
      <c r="C9" s="5" t="s">
        <v>59</v>
      </c>
      <c r="D9" s="5" t="s">
        <v>60</v>
      </c>
      <c r="E9" s="7" t="n">
        <v>0</v>
      </c>
      <c r="F9" s="7" t="n">
        <v>520</v>
      </c>
      <c r="G9" s="7" t="n">
        <v>80</v>
      </c>
      <c r="H9" s="7" t="n">
        <v>85</v>
      </c>
      <c r="I9" s="7" t="n">
        <v>28</v>
      </c>
      <c r="J9" s="7" t="n">
        <v>5</v>
      </c>
      <c r="K9" s="7" t="n">
        <v>1</v>
      </c>
      <c r="L9" s="8" t="n">
        <f aca="false">J9*Overview!$B$7+K9*Overview!$B$8</f>
        <v>144</v>
      </c>
    </row>
    <row r="10" customFormat="false" ht="15" hidden="false" customHeight="false" outlineLevel="0" collapsed="false">
      <c r="A10" s="5" t="s">
        <v>61</v>
      </c>
      <c r="B10" s="5" t="s">
        <v>41</v>
      </c>
      <c r="C10" s="5" t="s">
        <v>62</v>
      </c>
      <c r="D10" s="5" t="s">
        <v>63</v>
      </c>
      <c r="E10" s="7" t="n">
        <v>5200</v>
      </c>
      <c r="F10" s="7" t="n">
        <v>0</v>
      </c>
      <c r="G10" s="7" t="n">
        <v>120</v>
      </c>
      <c r="H10" s="7" t="n">
        <v>130</v>
      </c>
      <c r="I10" s="7" t="n">
        <v>33</v>
      </c>
      <c r="J10" s="7" t="n">
        <v>2</v>
      </c>
      <c r="K10" s="7" t="n">
        <v>1</v>
      </c>
      <c r="L10" s="8" t="n">
        <f aca="false">J10*Overview!$B$7+K10*Overview!$B$8</f>
        <v>63</v>
      </c>
    </row>
    <row r="11" customFormat="false" ht="15" hidden="false" customHeight="false" outlineLevel="0" collapsed="false">
      <c r="A11" s="5" t="s">
        <v>64</v>
      </c>
      <c r="B11" s="5" t="s">
        <v>52</v>
      </c>
      <c r="C11" s="5" t="s">
        <v>65</v>
      </c>
      <c r="D11" s="5" t="s">
        <v>66</v>
      </c>
      <c r="E11" s="7" t="n">
        <v>0</v>
      </c>
      <c r="F11" s="7" t="n">
        <v>180</v>
      </c>
      <c r="G11" s="7" t="n">
        <v>45</v>
      </c>
      <c r="H11" s="7" t="n">
        <v>48</v>
      </c>
      <c r="I11" s="7" t="n">
        <v>15</v>
      </c>
      <c r="J11" s="7" t="n">
        <v>1</v>
      </c>
      <c r="K11" s="7" t="n">
        <v>1</v>
      </c>
      <c r="L11" s="8" t="n">
        <f aca="false">J11*Overview!$B$7+K11*Overview!$B$8</f>
        <v>36</v>
      </c>
    </row>
    <row r="12" customFormat="false" ht="15" hidden="false" customHeight="false" outlineLevel="0" collapsed="false">
      <c r="A12" s="5" t="s">
        <v>67</v>
      </c>
      <c r="B12" s="5" t="s">
        <v>41</v>
      </c>
      <c r="C12" s="5" t="s">
        <v>68</v>
      </c>
      <c r="D12" s="5" t="s">
        <v>69</v>
      </c>
      <c r="E12" s="7" t="n">
        <v>7300</v>
      </c>
      <c r="F12" s="7" t="n">
        <v>0</v>
      </c>
      <c r="G12" s="7" t="n">
        <v>190</v>
      </c>
      <c r="H12" s="7" t="n">
        <v>200</v>
      </c>
      <c r="I12" s="7" t="n">
        <v>40</v>
      </c>
      <c r="J12" s="7" t="n">
        <v>1</v>
      </c>
      <c r="K12" s="7" t="n">
        <v>0</v>
      </c>
      <c r="L12" s="8" t="n">
        <f aca="false">J12*Overview!$B$7+K12*Overview!$B$8</f>
        <v>27</v>
      </c>
    </row>
    <row r="13" customFormat="false" ht="15" hidden="false" customHeight="false" outlineLevel="0" collapsed="false">
      <c r="A13" s="5" t="s">
        <v>70</v>
      </c>
      <c r="B13" s="5" t="s">
        <v>71</v>
      </c>
      <c r="C13" s="5" t="s">
        <v>72</v>
      </c>
      <c r="D13" s="5" t="s">
        <v>73</v>
      </c>
      <c r="E13" s="7" t="n">
        <v>0</v>
      </c>
      <c r="F13" s="7" t="n">
        <v>90</v>
      </c>
      <c r="G13" s="7" t="n">
        <v>30</v>
      </c>
      <c r="H13" s="7" t="n">
        <v>32</v>
      </c>
      <c r="I13" s="7" t="n">
        <v>8</v>
      </c>
      <c r="J13" s="7" t="n">
        <v>0</v>
      </c>
      <c r="K13" s="7" t="n">
        <v>0</v>
      </c>
      <c r="L13" s="8" t="n">
        <f aca="false">J13*Overview!$B$7+K13*Overview!$B$8</f>
        <v>0</v>
      </c>
    </row>
    <row r="14" customFormat="false" ht="15" hidden="false" customHeight="false" outlineLevel="0" collapsed="false">
      <c r="A14" s="4" t="s">
        <v>74</v>
      </c>
      <c r="B14" s="14"/>
      <c r="C14" s="14"/>
      <c r="D14" s="14"/>
      <c r="E14" s="15" t="n">
        <f aca="false">SUM(E4:E13)</f>
        <v>36200</v>
      </c>
      <c r="F14" s="15" t="n">
        <f aca="false">SUM(F4:F13)</f>
        <v>1640</v>
      </c>
      <c r="G14" s="15" t="n">
        <f aca="false">SUM(G4:G13)</f>
        <v>1220</v>
      </c>
      <c r="H14" s="15" t="n">
        <f aca="false">SUM(H4:H13)</f>
        <v>1287</v>
      </c>
      <c r="I14" s="15" t="n">
        <f aca="false">SUM(I4:I13)</f>
        <v>373</v>
      </c>
      <c r="J14" s="15" t="n">
        <f aca="false">SUM(J4:J13)</f>
        <v>62</v>
      </c>
      <c r="K14" s="15" t="n">
        <f aca="false">SUM(K4:K13)</f>
        <v>20</v>
      </c>
      <c r="L14" s="16" t="n">
        <f aca="false">SUM(L4:L13)</f>
        <v>1854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7" t="s">
        <v>75</v>
      </c>
    </row>
    <row r="3" customFormat="false" ht="15" hidden="false" customHeight="false" outlineLevel="0" collapsed="false">
      <c r="A3" s="13" t="s">
        <v>76</v>
      </c>
      <c r="B3" s="13" t="s">
        <v>77</v>
      </c>
      <c r="C3" s="13" t="s">
        <v>78</v>
      </c>
    </row>
    <row r="4" customFormat="false" ht="15" hidden="false" customHeight="false" outlineLevel="0" collapsed="false">
      <c r="A4" s="4" t="s">
        <v>79</v>
      </c>
      <c r="B4" s="7" t="n">
        <f aca="false">Overview!B15</f>
        <v>36200</v>
      </c>
      <c r="C4" s="18" t="s">
        <v>80</v>
      </c>
    </row>
    <row r="5" customFormat="false" ht="15" hidden="false" customHeight="false" outlineLevel="0" collapsed="false">
      <c r="A5" s="4" t="s">
        <v>20</v>
      </c>
      <c r="B5" s="7" t="n">
        <f aca="false">Overview!B18</f>
        <v>1287</v>
      </c>
      <c r="C5" s="10" t="n">
        <f aca="false">IF(B4=0,0,B5/B4)</f>
        <v>0.0355524861878453</v>
      </c>
    </row>
    <row r="6" customFormat="false" ht="15" hidden="false" customHeight="false" outlineLevel="0" collapsed="false">
      <c r="A6" s="4" t="s">
        <v>81</v>
      </c>
      <c r="B6" s="7" t="n">
        <f aca="false">Overview!B17</f>
        <v>1220</v>
      </c>
      <c r="C6" s="10" t="n">
        <f aca="false">IF(B5=0,0,B6/B5)</f>
        <v>0.947940947940948</v>
      </c>
    </row>
    <row r="7" customFormat="false" ht="15" hidden="false" customHeight="false" outlineLevel="0" collapsed="false">
      <c r="A7" s="4" t="s">
        <v>21</v>
      </c>
      <c r="B7" s="7" t="n">
        <f aca="false">Overview!B19</f>
        <v>373</v>
      </c>
      <c r="C7" s="10" t="n">
        <f aca="false">IF(B6=0,0,B7/B6)</f>
        <v>0.305737704918033</v>
      </c>
    </row>
    <row r="8" customFormat="false" ht="15" hidden="false" customHeight="false" outlineLevel="0" collapsed="false">
      <c r="A8" s="4" t="s">
        <v>22</v>
      </c>
      <c r="B8" s="7" t="n">
        <f aca="false">Overview!B20</f>
        <v>62</v>
      </c>
      <c r="C8" s="10" t="n">
        <f aca="false">IF(B7=0,0,B8/B7)</f>
        <v>0.166219839142091</v>
      </c>
    </row>
    <row r="9" customFormat="false" ht="15" hidden="false" customHeight="false" outlineLevel="0" collapsed="false">
      <c r="A9" s="4" t="s">
        <v>82</v>
      </c>
      <c r="B9" s="7" t="n">
        <f aca="false">Overview!B21</f>
        <v>20</v>
      </c>
      <c r="C9" s="10" t="n">
        <f aca="false">IF(B8=0,0,B9/B8)</f>
        <v>0.32258064516129</v>
      </c>
    </row>
    <row r="10" customFormat="false" ht="15" hidden="false" customHeight="false" outlineLevel="0" collapsed="false">
      <c r="A10" s="4" t="s">
        <v>26</v>
      </c>
      <c r="B10" s="10" t="n">
        <f aca="false">Overview!B24</f>
        <v>0.032258064516129</v>
      </c>
      <c r="C10" s="18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7" t="s">
        <v>83</v>
      </c>
    </row>
    <row r="3" customFormat="false" ht="15" hidden="false" customHeight="false" outlineLevel="0" collapsed="false">
      <c r="A3" s="3" t="s">
        <v>84</v>
      </c>
      <c r="B3" s="3"/>
      <c r="C3" s="3"/>
      <c r="D3" s="3"/>
    </row>
    <row r="4" customFormat="false" ht="15" hidden="false" customHeight="false" outlineLevel="0" collapsed="false">
      <c r="A4" s="13" t="s">
        <v>30</v>
      </c>
      <c r="B4" s="13" t="s">
        <v>85</v>
      </c>
      <c r="C4" s="13" t="s">
        <v>86</v>
      </c>
      <c r="D4" s="13" t="s">
        <v>87</v>
      </c>
    </row>
    <row r="5" customFormat="false" ht="23.85" hidden="false" customHeight="false" outlineLevel="0" collapsed="false">
      <c r="A5" s="5" t="s">
        <v>88</v>
      </c>
      <c r="B5" s="5" t="s">
        <v>89</v>
      </c>
      <c r="C5" s="5" t="s">
        <v>90</v>
      </c>
      <c r="D5" s="5" t="s">
        <v>91</v>
      </c>
    </row>
    <row r="6" customFormat="false" ht="35.05" hidden="false" customHeight="false" outlineLevel="0" collapsed="false">
      <c r="A6" s="5" t="s">
        <v>92</v>
      </c>
      <c r="B6" s="5" t="s">
        <v>93</v>
      </c>
      <c r="C6" s="5" t="s">
        <v>94</v>
      </c>
      <c r="D6" s="5" t="s">
        <v>91</v>
      </c>
    </row>
    <row r="7" customFormat="false" ht="35.05" hidden="false" customHeight="false" outlineLevel="0" collapsed="false">
      <c r="A7" s="5" t="s">
        <v>95</v>
      </c>
      <c r="B7" s="5" t="s">
        <v>96</v>
      </c>
      <c r="C7" s="5" t="s">
        <v>97</v>
      </c>
      <c r="D7" s="5" t="s">
        <v>91</v>
      </c>
    </row>
    <row r="10" customFormat="false" ht="15" hidden="false" customHeight="false" outlineLevel="0" collapsed="false">
      <c r="A10" s="3" t="s">
        <v>98</v>
      </c>
      <c r="B10" s="3"/>
      <c r="C10" s="3"/>
      <c r="D10" s="3"/>
    </row>
    <row r="11" customFormat="false" ht="15" hidden="false" customHeight="false" outlineLevel="0" collapsed="false">
      <c r="A11" s="13" t="s">
        <v>30</v>
      </c>
      <c r="B11" s="13" t="s">
        <v>85</v>
      </c>
      <c r="C11" s="13" t="s">
        <v>99</v>
      </c>
      <c r="D11" s="13" t="s">
        <v>100</v>
      </c>
    </row>
    <row r="12" customFormat="false" ht="15" hidden="false" customHeight="false" outlineLevel="0" collapsed="false">
      <c r="A12" s="5" t="s">
        <v>101</v>
      </c>
      <c r="B12" s="5" t="s">
        <v>102</v>
      </c>
      <c r="C12" s="19" t="n">
        <v>5</v>
      </c>
      <c r="D12" s="5" t="s">
        <v>103</v>
      </c>
    </row>
    <row r="13" customFormat="false" ht="15" hidden="false" customHeight="false" outlineLevel="0" collapsed="false">
      <c r="A13" s="5" t="s">
        <v>104</v>
      </c>
      <c r="B13" s="5" t="s">
        <v>105</v>
      </c>
      <c r="C13" s="19" t="n">
        <v>5</v>
      </c>
      <c r="D13" s="5" t="s">
        <v>106</v>
      </c>
    </row>
    <row r="14" customFormat="false" ht="15" hidden="false" customHeight="false" outlineLevel="0" collapsed="false">
      <c r="A14" s="5" t="s">
        <v>107</v>
      </c>
      <c r="B14" s="5" t="s">
        <v>108</v>
      </c>
      <c r="C14" s="19" t="n">
        <v>4</v>
      </c>
      <c r="D14" s="5" t="s">
        <v>109</v>
      </c>
    </row>
    <row r="15" customFormat="false" ht="15" hidden="false" customHeight="false" outlineLevel="0" collapsed="false">
      <c r="A15" s="5" t="s">
        <v>110</v>
      </c>
      <c r="B15" s="5" t="s">
        <v>111</v>
      </c>
      <c r="C15" s="19" t="n">
        <v>5</v>
      </c>
      <c r="D15" s="5" t="s">
        <v>112</v>
      </c>
    </row>
    <row r="16" customFormat="false" ht="15" hidden="false" customHeight="false" outlineLevel="0" collapsed="false">
      <c r="A16" s="5" t="s">
        <v>113</v>
      </c>
      <c r="B16" s="5" t="s">
        <v>114</v>
      </c>
      <c r="C16" s="19" t="n">
        <v>3</v>
      </c>
      <c r="D16" s="5" t="s">
        <v>115</v>
      </c>
    </row>
    <row r="17" customFormat="false" ht="15" hidden="false" customHeight="false" outlineLevel="0" collapsed="false">
      <c r="A17" s="5" t="s">
        <v>116</v>
      </c>
      <c r="B17" s="5" t="s">
        <v>117</v>
      </c>
      <c r="C17" s="19" t="n">
        <v>4</v>
      </c>
      <c r="D17" s="5" t="s">
        <v>118</v>
      </c>
    </row>
  </sheetData>
  <mergeCells count="2">
    <mergeCell ref="A3:D3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2026-07-06T12:45:40Z</dcterms:created>
  <dc:creator>openpyxl</dc:creator>
  <dc:description/>
  <dc:language>en-US</dc:language>
  <cp:lastModifiedBy/>
  <dcterms:modified xsi:type="dcterms:W3CDTF">2026-07-06T12:45:40Z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